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asks" sheetId="2" state="visible" r:id="rId2"/>
    <sheet name="Team" sheetId="3" state="visible" r:id="rId3"/>
    <sheet name="Partners" sheetId="4" state="visible" r:id="rId4"/>
    <sheet name="Budget" sheetId="5" state="visible" r:id="rId5"/>
    <sheet name="Registrations" sheetId="6" state="visible" r:id="rId6"/>
    <sheet name="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 mmm yyyy"/>
    <numFmt numFmtId="165" formatCode="₹#,##0"/>
    <numFmt numFmtId="166" formatCode="yyyy-mm-dd"/>
    <numFmt numFmtId="167" formatCode="dd mmm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4E79"/>
    </font>
    <font>
      <name val="Arial"/>
      <color rgb="000000FF"/>
      <sz val="10"/>
    </font>
    <font>
      <name val="Arial"/>
      <i val="1"/>
      <color rgb="00595959"/>
      <sz val="9"/>
    </font>
    <font>
      <name val="Arial"/>
      <color rgb="00000000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5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9" fontId="3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vertical="top" wrapText="1"/>
    </xf>
    <xf numFmtId="167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7" fontId="5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7" fontId="7" fillId="4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2" borderId="1" pivotButton="0" quotePrefix="0" xfId="0"/>
    <xf numFmtId="165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40" customWidth="1" min="4" max="4"/>
  </cols>
  <sheetData>
    <row r="1">
      <c r="A1" s="1" t="inlineStr">
        <is>
          <t>Event 1 – Get Hire-Ready Day</t>
        </is>
      </c>
    </row>
    <row r="2">
      <c r="A2" s="2" t="inlineStr">
        <is>
          <t>Amity University Patna • Sat 28 Nov 2026 • Tracker workbook (updates automatically from the other tabs)</t>
        </is>
      </c>
    </row>
    <row r="4">
      <c r="A4" s="3" t="inlineStr">
        <is>
          <t>Event date</t>
        </is>
      </c>
      <c r="B4" s="4">
        <f>DATE(2026,11,28)</f>
        <v/>
      </c>
      <c r="C4" s="3" t="n"/>
      <c r="D4" s="3" t="inlineStr">
        <is>
          <t>Change here if the date moves</t>
        </is>
      </c>
    </row>
    <row r="5">
      <c r="A5" s="3" t="inlineStr">
        <is>
          <t>Days to go</t>
        </is>
      </c>
      <c r="B5" s="3">
        <f>MAX(0,B4-TODAY())</f>
        <v/>
      </c>
      <c r="C5" s="3" t="n"/>
      <c r="D5" s="3" t="inlineStr"/>
    </row>
    <row r="6">
      <c r="A6" s="3" t="inlineStr"/>
      <c r="B6" s="3" t="inlineStr"/>
      <c r="C6" s="3" t="inlineStr"/>
      <c r="D6" s="3" t="inlineStr"/>
    </row>
    <row r="7">
      <c r="A7" s="5" t="inlineStr">
        <is>
          <t>TASKS</t>
        </is>
      </c>
      <c r="B7" s="5" t="inlineStr">
        <is>
          <t>Done</t>
        </is>
      </c>
      <c r="C7" s="5" t="inlineStr">
        <is>
          <t>Total</t>
        </is>
      </c>
      <c r="D7" s="3" t="inlineStr"/>
    </row>
    <row r="8">
      <c r="A8" s="3" t="inlineStr">
        <is>
          <t>Tasks done</t>
        </is>
      </c>
      <c r="B8" s="3">
        <f>COUNTIF(Tasks!F:F,"Done")</f>
        <v/>
      </c>
      <c r="C8" s="3">
        <f>COUNTA(Tasks!B5:B200)</f>
        <v/>
      </c>
      <c r="D8" s="3" t="inlineStr"/>
    </row>
    <row r="9">
      <c r="A9" s="3" t="inlineStr">
        <is>
          <t>Tasks progress</t>
        </is>
      </c>
      <c r="B9" s="6">
        <f>IFERROR(B8/C8,0)</f>
        <v/>
      </c>
      <c r="C9" s="3" t="n"/>
      <c r="D9" s="3" t="inlineStr"/>
    </row>
    <row r="10">
      <c r="A10" s="3" t="inlineStr">
        <is>
          <t>Tasks overdue (not done, due date passed)</t>
        </is>
      </c>
      <c r="B10" s="3">
        <f>SUMPRODUCT((Tasks!E5:E200&lt;TODAY())*(Tasks!E5:E200&lt;&gt;"")*(Tasks!F5:F200&lt;&gt;"Done"))</f>
        <v/>
      </c>
      <c r="C10" s="3" t="n"/>
      <c r="D10" s="3" t="inlineStr">
        <is>
          <t>Check the Tasks tab</t>
        </is>
      </c>
    </row>
    <row r="11">
      <c r="A11" s="3" t="inlineStr"/>
      <c r="B11" s="3" t="inlineStr"/>
      <c r="C11" s="3" t="inlineStr"/>
      <c r="D11" s="3" t="inlineStr"/>
    </row>
    <row r="12">
      <c r="A12" s="5" t="inlineStr">
        <is>
          <t>PARTNERS</t>
        </is>
      </c>
      <c r="B12" s="5" t="inlineStr">
        <is>
          <t>Confirmed</t>
        </is>
      </c>
      <c r="C12" s="5" t="inlineStr">
        <is>
          <t>Target</t>
        </is>
      </c>
      <c r="D12" s="3" t="inlineStr"/>
    </row>
    <row r="13">
      <c r="A13" s="3" t="inlineStr">
        <is>
          <t>Hiring companies confirmed</t>
        </is>
      </c>
      <c r="B13" s="3">
        <f>COUNTIFS(Partners!A:A,"Company",Partners!I:I,"Confirmed")</f>
        <v/>
      </c>
      <c r="C13" s="7" t="n">
        <v>3</v>
      </c>
      <c r="D13" s="3" t="inlineStr">
        <is>
          <t>Target 2–3</t>
        </is>
      </c>
    </row>
    <row r="14">
      <c r="A14" s="3" t="inlineStr">
        <is>
          <t>Platform partner confirmed (GfG / Unstop)</t>
        </is>
      </c>
      <c r="B14" s="3">
        <f>COUNTIFS(Partners!A:A,"Platform",Partners!I:I,"Confirmed")</f>
        <v/>
      </c>
      <c r="C14" s="7" t="n">
        <v>1</v>
      </c>
      <c r="D14" s="3" t="inlineStr"/>
    </row>
    <row r="15">
      <c r="A15" s="3" t="inlineStr">
        <is>
          <t>Alumni / HR volunteers confirmed</t>
        </is>
      </c>
      <c r="B15" s="3">
        <f>COUNTIFS(Partners!A:A,"Alumni / HR",Partners!I:I,"Confirmed")</f>
        <v/>
      </c>
      <c r="C15" s="7" t="n">
        <v>6</v>
      </c>
      <c r="D15" s="3" t="inlineStr">
        <is>
          <t>Target 5–8</t>
        </is>
      </c>
    </row>
    <row r="16">
      <c r="A16" s="3" t="inlineStr">
        <is>
          <t>Speaker confirmed</t>
        </is>
      </c>
      <c r="B16" s="3">
        <f>COUNTIFS(Partners!A:A,"Speaker",Partners!I:I,"Confirmed")</f>
        <v/>
      </c>
      <c r="C16" s="7" t="n">
        <v>1</v>
      </c>
      <c r="D16" s="3" t="inlineStr"/>
    </row>
    <row r="17">
      <c r="A17" s="3" t="inlineStr"/>
      <c r="B17" s="3" t="inlineStr"/>
      <c r="C17" s="3" t="inlineStr"/>
      <c r="D17" s="3" t="inlineStr"/>
    </row>
    <row r="18">
      <c r="A18" s="5" t="inlineStr">
        <is>
          <t>REGISTRATIONS</t>
        </is>
      </c>
      <c r="B18" s="5" t="inlineStr">
        <is>
          <t>Actual</t>
        </is>
      </c>
      <c r="C18" s="5" t="inlineStr">
        <is>
          <t>Target</t>
        </is>
      </c>
      <c r="D18" s="3" t="inlineStr"/>
    </row>
    <row r="19">
      <c r="A19" s="3" t="inlineStr">
        <is>
          <t>Total registrations</t>
        </is>
      </c>
      <c r="B19" s="3">
        <f>Registrations!H14</f>
        <v/>
      </c>
      <c r="C19" s="7" t="n">
        <v>100</v>
      </c>
      <c r="D19" s="3" t="inlineStr"/>
    </row>
    <row r="20">
      <c r="A20" s="3" t="inlineStr">
        <is>
          <t>Registrations vs target</t>
        </is>
      </c>
      <c r="B20" s="6">
        <f>IFERROR(B19/C19,0)</f>
        <v/>
      </c>
      <c r="C20" s="3" t="n"/>
      <c r="D20" s="3" t="inlineStr"/>
    </row>
    <row r="21">
      <c r="A21" s="3" t="inlineStr"/>
      <c r="B21" s="3" t="inlineStr"/>
      <c r="C21" s="3" t="inlineStr"/>
      <c r="D21" s="3" t="inlineStr"/>
    </row>
    <row r="22">
      <c r="A22" s="5" t="inlineStr">
        <is>
          <t>BUDGET (₹)</t>
        </is>
      </c>
      <c r="B22" s="5" t="inlineStr">
        <is>
          <t>Amount</t>
        </is>
      </c>
      <c r="C22" s="5" t="inlineStr"/>
      <c r="D22" s="3" t="inlineStr"/>
    </row>
    <row r="23">
      <c r="A23" s="3" t="inlineStr">
        <is>
          <t>Planned (max)</t>
        </is>
      </c>
      <c r="B23" s="8">
        <f>Budget!C11</f>
        <v/>
      </c>
      <c r="C23" s="3" t="n"/>
      <c r="D23" s="3" t="inlineStr"/>
    </row>
    <row r="24">
      <c r="A24" s="3" t="inlineStr">
        <is>
          <t>Spent so far</t>
        </is>
      </c>
      <c r="B24" s="8">
        <f>Budget!D11</f>
        <v/>
      </c>
      <c r="C24" s="3" t="n"/>
      <c r="D24" s="3" t="inlineStr"/>
    </row>
    <row r="25">
      <c r="A25" s="3" t="inlineStr">
        <is>
          <t>Sponsor money received</t>
        </is>
      </c>
      <c r="B25" s="8">
        <f>Budget!C17</f>
        <v/>
      </c>
      <c r="C25" s="3" t="n"/>
      <c r="D25" s="3" t="inlineStr">
        <is>
          <t>Target ₹5,000+</t>
        </is>
      </c>
    </row>
    <row r="26">
      <c r="A26" s="3" t="inlineStr">
        <is>
          <t>Net cost to Amity</t>
        </is>
      </c>
      <c r="B26" s="8">
        <f>B24-B25</f>
        <v/>
      </c>
      <c r="C26" s="3" t="n"/>
      <c r="D26" s="3" t="inlineStr"/>
    </row>
    <row r="29">
      <c r="A29" s="9" t="inlineStr">
        <is>
          <t>How to use: fill the yellow cells on each tab. Blue text = typed input, black = formula. Status columns have drop-down lists. Grey rows are examples – overwrite or delete them.</t>
        </is>
      </c>
    </row>
    <row r="30"/>
  </sheetData>
  <mergeCells count="1">
    <mergeCell ref="A29:D30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20" customWidth="1" min="4" max="4"/>
    <col width="13" customWidth="1" min="5" max="5"/>
    <col width="14" customWidth="1" min="6" max="6"/>
    <col width="30" customWidth="1" min="7" max="7"/>
  </cols>
  <sheetData>
    <row r="1">
      <c r="A1" s="1" t="inlineStr">
        <is>
          <t>Tasks</t>
        </is>
      </c>
    </row>
    <row r="2">
      <c r="A2" s="2" t="inlineStr">
        <is>
          <t>Week-by-week task list from the Event 1 plan. Update Owner, Due date and Status.</t>
        </is>
      </c>
    </row>
    <row r="3">
      <c r="A3" s="10" t="inlineStr">
        <is>
          <t>Red due date = overdue. Add new tasks at the bottom.</t>
        </is>
      </c>
    </row>
    <row r="4">
      <c r="A4" s="11" t="inlineStr">
        <is>
          <t>Week of</t>
        </is>
      </c>
      <c r="B4" s="11" t="inlineStr">
        <is>
          <t>Task</t>
        </is>
      </c>
      <c r="C4" s="11" t="inlineStr">
        <is>
          <t>Area</t>
        </is>
      </c>
      <c r="D4" s="11" t="inlineStr">
        <is>
          <t>Owner</t>
        </is>
      </c>
      <c r="E4" s="11" t="inlineStr">
        <is>
          <t>Due date</t>
        </is>
      </c>
      <c r="F4" s="11" t="inlineStr">
        <is>
          <t>Status</t>
        </is>
      </c>
      <c r="G4" s="11" t="inlineStr">
        <is>
          <t>Notes</t>
        </is>
      </c>
    </row>
    <row r="5">
      <c r="A5" s="12" t="n">
        <v>46307</v>
      </c>
      <c r="B5" s="13" t="inlineStr">
        <is>
          <t>Send approval note to management</t>
        </is>
      </c>
      <c r="C5" s="13" t="inlineStr">
        <is>
          <t>Approvals</t>
        </is>
      </c>
      <c r="D5" s="14" t="inlineStr"/>
      <c r="E5" s="15" t="n">
        <v>46311</v>
      </c>
      <c r="F5" s="14" t="inlineStr">
        <is>
          <t>Not started</t>
        </is>
      </c>
      <c r="G5" s="14" t="inlineStr"/>
    </row>
    <row r="6">
      <c r="A6" s="12" t="n">
        <v>46307</v>
      </c>
      <c r="B6" s="13" t="inlineStr">
        <is>
          <t>Check 28 Nov against exam calendar and Chhath (around 15 Nov)</t>
        </is>
      </c>
      <c r="C6" s="13" t="inlineStr">
        <is>
          <t>Approvals</t>
        </is>
      </c>
      <c r="D6" s="14" t="inlineStr"/>
      <c r="E6" s="15" t="n">
        <v>46309</v>
      </c>
      <c r="F6" s="14" t="inlineStr">
        <is>
          <t>Not started</t>
        </is>
      </c>
      <c r="G6" s="14" t="inlineStr"/>
    </row>
    <row r="7">
      <c r="A7" s="12" t="n">
        <v>46307</v>
      </c>
      <c r="B7" s="13" t="inlineStr">
        <is>
          <t>Book 2 labs, seminar hall and 3 rooms</t>
        </is>
      </c>
      <c r="C7" s="13" t="inlineStr">
        <is>
          <t>Logistics</t>
        </is>
      </c>
      <c r="D7" s="14" t="inlineStr"/>
      <c r="E7" s="15" t="n">
        <v>46311</v>
      </c>
      <c r="F7" s="14" t="inlineStr">
        <is>
          <t>Not started</t>
        </is>
      </c>
      <c r="G7" s="14" t="inlineStr"/>
    </row>
    <row r="8">
      <c r="A8" s="12" t="n">
        <v>46314</v>
      </c>
      <c r="B8" s="13" t="inlineStr">
        <is>
          <t>Form core team and fill the Team tab</t>
        </is>
      </c>
      <c r="C8" s="13" t="inlineStr">
        <is>
          <t>Team</t>
        </is>
      </c>
      <c r="D8" s="14" t="inlineStr"/>
      <c r="E8" s="15" t="n">
        <v>46316</v>
      </c>
      <c r="F8" s="14" t="inlineStr">
        <is>
          <t>Not started</t>
        </is>
      </c>
      <c r="G8" s="14" t="inlineStr"/>
    </row>
    <row r="9">
      <c r="A9" s="12" t="n">
        <v>46314</v>
      </c>
      <c r="B9" s="13" t="inlineStr">
        <is>
          <t>List 15 companies and 15 alumni in the Partners tab</t>
        </is>
      </c>
      <c r="C9" s="13" t="inlineStr">
        <is>
          <t>Partners</t>
        </is>
      </c>
      <c r="D9" s="14" t="inlineStr"/>
      <c r="E9" s="15" t="n">
        <v>46318</v>
      </c>
      <c r="F9" s="14" t="inlineStr">
        <is>
          <t>Not started</t>
        </is>
      </c>
      <c r="G9" s="14" t="inlineStr"/>
    </row>
    <row r="10">
      <c r="A10" s="12" t="n">
        <v>46314</v>
      </c>
      <c r="B10" s="13" t="inlineStr">
        <is>
          <t>Email GeeksforGeeks and Unstop campus teams</t>
        </is>
      </c>
      <c r="C10" s="13" t="inlineStr">
        <is>
          <t>Partners</t>
        </is>
      </c>
      <c r="D10" s="14" t="inlineStr"/>
      <c r="E10" s="15" t="n">
        <v>46317</v>
      </c>
      <c r="F10" s="14" t="inlineStr">
        <is>
          <t>Not started</t>
        </is>
      </c>
      <c r="G10" s="14" t="inlineStr"/>
    </row>
    <row r="11">
      <c r="A11" s="12" t="n">
        <v>46314</v>
      </c>
      <c r="B11" s="13" t="inlineStr">
        <is>
          <t>Shortlist 3 speakers</t>
        </is>
      </c>
      <c r="C11" s="13" t="inlineStr">
        <is>
          <t>Partners</t>
        </is>
      </c>
      <c r="D11" s="14" t="inlineStr"/>
      <c r="E11" s="15" t="n">
        <v>46318</v>
      </c>
      <c r="F11" s="14" t="inlineStr">
        <is>
          <t>Not started</t>
        </is>
      </c>
      <c r="G11" s="14" t="inlineStr"/>
    </row>
    <row r="12">
      <c r="A12" s="12" t="n">
        <v>46321</v>
      </c>
      <c r="B12" s="13" t="inlineStr">
        <is>
          <t>Send invites to companies and alumni</t>
        </is>
      </c>
      <c r="C12" s="13" t="inlineStr">
        <is>
          <t>Partners</t>
        </is>
      </c>
      <c r="D12" s="14" t="inlineStr"/>
      <c r="E12" s="15" t="n">
        <v>46323</v>
      </c>
      <c r="F12" s="14" t="inlineStr">
        <is>
          <t>Not started</t>
        </is>
      </c>
      <c r="G12" s="14" t="inlineStr"/>
    </row>
    <row r="13">
      <c r="A13" s="12" t="n">
        <v>46321</v>
      </c>
      <c r="B13" s="13" t="inlineStr">
        <is>
          <t>Pick contest platform</t>
        </is>
      </c>
      <c r="C13" s="13" t="inlineStr">
        <is>
          <t>Technical</t>
        </is>
      </c>
      <c r="D13" s="14" t="inlineStr"/>
      <c r="E13" s="15" t="n">
        <v>46325</v>
      </c>
      <c r="F13" s="14" t="inlineStr">
        <is>
          <t>Not started</t>
        </is>
      </c>
      <c r="G13" s="14" t="inlineStr"/>
    </row>
    <row r="14">
      <c r="A14" s="12" t="n">
        <v>46321</v>
      </c>
      <c r="B14" s="13" t="inlineStr">
        <is>
          <t>Draft 3 idea-pitch problem statements</t>
        </is>
      </c>
      <c r="C14" s="13" t="inlineStr">
        <is>
          <t>Technical</t>
        </is>
      </c>
      <c r="D14" s="14" t="inlineStr"/>
      <c r="E14" s="15" t="n">
        <v>46325</v>
      </c>
      <c r="F14" s="14" t="inlineStr">
        <is>
          <t>Not started</t>
        </is>
      </c>
      <c r="G14" s="14" t="inlineStr"/>
    </row>
    <row r="15">
      <c r="A15" s="12" t="n">
        <v>46321</v>
      </c>
      <c r="B15" s="13" t="inlineStr">
        <is>
          <t>Design poster and registration form (with CV upload)</t>
        </is>
      </c>
      <c r="C15" s="13" t="inlineStr">
        <is>
          <t>Marketing</t>
        </is>
      </c>
      <c r="D15" s="14" t="inlineStr"/>
      <c r="E15" s="15" t="n">
        <v>46325</v>
      </c>
      <c r="F15" s="14" t="inlineStr">
        <is>
          <t>Not started</t>
        </is>
      </c>
      <c r="G15" s="14" t="inlineStr"/>
    </row>
    <row r="16">
      <c r="A16" s="12" t="n">
        <v>46328</v>
      </c>
      <c r="B16" s="13" t="inlineStr">
        <is>
          <t>Open registration</t>
        </is>
      </c>
      <c r="C16" s="13" t="inlineStr">
        <is>
          <t>Marketing</t>
        </is>
      </c>
      <c r="D16" s="14" t="inlineStr"/>
      <c r="E16" s="15" t="n">
        <v>46328</v>
      </c>
      <c r="F16" s="14" t="inlineStr">
        <is>
          <t>Not started</t>
        </is>
      </c>
      <c r="G16" s="14" t="inlineStr"/>
    </row>
    <row r="17">
      <c r="A17" s="12" t="n">
        <v>46328</v>
      </c>
      <c r="B17" s="13" t="inlineStr">
        <is>
          <t>Appoint class ambassadors (one per section)</t>
        </is>
      </c>
      <c r="C17" s="13" t="inlineStr">
        <is>
          <t>Marketing</t>
        </is>
      </c>
      <c r="D17" s="14" t="inlineStr"/>
      <c r="E17" s="15" t="n">
        <v>46330</v>
      </c>
      <c r="F17" s="14" t="inlineStr">
        <is>
          <t>Not started</t>
        </is>
      </c>
      <c r="G17" s="14" t="inlineStr"/>
    </row>
    <row r="18">
      <c r="A18" s="12" t="n">
        <v>46328</v>
      </c>
      <c r="B18" s="13" t="inlineStr">
        <is>
          <t>First poster and reel out</t>
        </is>
      </c>
      <c r="C18" s="13" t="inlineStr">
        <is>
          <t>Marketing</t>
        </is>
      </c>
      <c r="D18" s="14" t="inlineStr"/>
      <c r="E18" s="15" t="n">
        <v>46330</v>
      </c>
      <c r="F18" s="14" t="inlineStr">
        <is>
          <t>Not started</t>
        </is>
      </c>
      <c r="G18" s="14" t="inlineStr"/>
    </row>
    <row r="19">
      <c r="A19" s="12" t="n">
        <v>46328</v>
      </c>
      <c r="B19" s="13" t="inlineStr">
        <is>
          <t>Confirm speaker</t>
        </is>
      </c>
      <c r="C19" s="13" t="inlineStr">
        <is>
          <t>Partners</t>
        </is>
      </c>
      <c r="D19" s="14" t="inlineStr"/>
      <c r="E19" s="15" t="n">
        <v>46332</v>
      </c>
      <c r="F19" s="14" t="inlineStr">
        <is>
          <t>Not started</t>
        </is>
      </c>
      <c r="G19" s="14" t="inlineStr"/>
    </row>
    <row r="20">
      <c r="A20" s="12" t="n">
        <v>46335</v>
      </c>
      <c r="B20" s="13" t="inlineStr">
        <is>
          <t>Follow up companies – target 2–3 confirmed</t>
        </is>
      </c>
      <c r="C20" s="13" t="inlineStr">
        <is>
          <t>Partners</t>
        </is>
      </c>
      <c r="D20" s="14" t="inlineStr"/>
      <c r="E20" s="15" t="n">
        <v>46339</v>
      </c>
      <c r="F20" s="14" t="inlineStr">
        <is>
          <t>Not started</t>
        </is>
      </c>
      <c r="G20" s="14" t="inlineStr"/>
    </row>
    <row r="21">
      <c r="A21" s="12" t="n">
        <v>46335</v>
      </c>
      <c r="B21" s="13" t="inlineStr">
        <is>
          <t>Prepare coding problems (beginner + advanced)</t>
        </is>
      </c>
      <c r="C21" s="13" t="inlineStr">
        <is>
          <t>Technical</t>
        </is>
      </c>
      <c r="D21" s="14" t="inlineStr"/>
      <c r="E21" s="15" t="n">
        <v>46339</v>
      </c>
      <c r="F21" s="14" t="inlineStr">
        <is>
          <t>Not started</t>
        </is>
      </c>
      <c r="G21" s="14" t="inlineStr"/>
    </row>
    <row r="22">
      <c r="A22" s="12" t="n">
        <v>46342</v>
      </c>
      <c r="B22" s="13" t="inlineStr">
        <is>
          <t>Announce companies and speaker (big promotion push)</t>
        </is>
      </c>
      <c r="C22" s="13" t="inlineStr">
        <is>
          <t>Marketing</t>
        </is>
      </c>
      <c r="D22" s="14" t="inlineStr"/>
      <c r="E22" s="15" t="n">
        <v>46343</v>
      </c>
      <c r="F22" s="14" t="inlineStr">
        <is>
          <t>Not started</t>
        </is>
      </c>
      <c r="G22" s="14" t="inlineStr"/>
    </row>
    <row r="23">
      <c r="A23" s="12" t="n">
        <v>46342</v>
      </c>
      <c r="B23" s="13" t="inlineStr">
        <is>
          <t>Post registration milestone (50+)</t>
        </is>
      </c>
      <c r="C23" s="13" t="inlineStr">
        <is>
          <t>Marketing</t>
        </is>
      </c>
      <c r="D23" s="14" t="inlineStr"/>
      <c r="E23" s="15" t="n">
        <v>46344</v>
      </c>
      <c r="F23" s="14" t="inlineStr">
        <is>
          <t>Not started</t>
        </is>
      </c>
      <c r="G23" s="14" t="inlineStr"/>
    </row>
    <row r="24">
      <c r="A24" s="12" t="n">
        <v>46342</v>
      </c>
      <c r="B24" s="13" t="inlineStr">
        <is>
          <t>Order food and refreshments</t>
        </is>
      </c>
      <c r="C24" s="13" t="inlineStr">
        <is>
          <t>Logistics</t>
        </is>
      </c>
      <c r="D24" s="14" t="inlineStr"/>
      <c r="E24" s="15" t="n">
        <v>46346</v>
      </c>
      <c r="F24" s="14" t="inlineStr">
        <is>
          <t>Not started</t>
        </is>
      </c>
      <c r="G24" s="14" t="inlineStr"/>
    </row>
    <row r="25">
      <c r="A25" s="12" t="n">
        <v>46349</v>
      </c>
      <c r="B25" s="13" t="inlineStr">
        <is>
          <t>Close registration (Wed 25 Nov)</t>
        </is>
      </c>
      <c r="C25" s="13" t="inlineStr">
        <is>
          <t>Marketing</t>
        </is>
      </c>
      <c r="D25" s="14" t="inlineStr"/>
      <c r="E25" s="15" t="n">
        <v>46351</v>
      </c>
      <c r="F25" s="14" t="inlineStr">
        <is>
          <t>Not started</t>
        </is>
      </c>
      <c r="G25" s="14" t="inlineStr"/>
    </row>
    <row r="26">
      <c r="A26" s="12" t="n">
        <v>46349</v>
      </c>
      <c r="B26" s="13" t="inlineStr">
        <is>
          <t>Test labs, Wi-Fi and contest platform</t>
        </is>
      </c>
      <c r="C26" s="13" t="inlineStr">
        <is>
          <t>Technical</t>
        </is>
      </c>
      <c r="D26" s="14" t="inlineStr"/>
      <c r="E26" s="15" t="n">
        <v>46351</v>
      </c>
      <c r="F26" s="14" t="inlineStr">
        <is>
          <t>Not started</t>
        </is>
      </c>
      <c r="G26" s="14" t="inlineStr"/>
    </row>
    <row r="27">
      <c r="A27" s="12" t="n">
        <v>46349</v>
      </c>
      <c r="B27" s="13" t="inlineStr">
        <is>
          <t>Print certificates, ID cards, banners</t>
        </is>
      </c>
      <c r="C27" s="13" t="inlineStr">
        <is>
          <t>Logistics</t>
        </is>
      </c>
      <c r="D27" s="14" t="inlineStr"/>
      <c r="E27" s="15" t="n">
        <v>46352</v>
      </c>
      <c r="F27" s="14" t="inlineStr">
        <is>
          <t>Not started</t>
        </is>
      </c>
      <c r="G27" s="14" t="inlineStr"/>
    </row>
    <row r="28">
      <c r="A28" s="12" t="n">
        <v>46349</v>
      </c>
      <c r="B28" s="13" t="inlineStr">
        <is>
          <t>Brief judges and HR/alumni volunteers</t>
        </is>
      </c>
      <c r="C28" s="13" t="inlineStr">
        <is>
          <t>Partners</t>
        </is>
      </c>
      <c r="D28" s="14" t="inlineStr"/>
      <c r="E28" s="15" t="n">
        <v>46352</v>
      </c>
      <c r="F28" s="14" t="inlineStr">
        <is>
          <t>Not started</t>
        </is>
      </c>
      <c r="G28" s="14" t="inlineStr"/>
    </row>
    <row r="29">
      <c r="A29" s="12" t="n">
        <v>46349</v>
      </c>
      <c r="B29" s="13" t="inlineStr">
        <is>
          <t>Volunteer briefing</t>
        </is>
      </c>
      <c r="C29" s="13" t="inlineStr">
        <is>
          <t>Team</t>
        </is>
      </c>
      <c r="D29" s="14" t="inlineStr"/>
      <c r="E29" s="15" t="n">
        <v>46353</v>
      </c>
      <c r="F29" s="14" t="inlineStr">
        <is>
          <t>Not started</t>
        </is>
      </c>
      <c r="G29" s="14" t="inlineStr"/>
    </row>
    <row r="30">
      <c r="A30" s="12" t="n">
        <v>46354</v>
      </c>
      <c r="B30" s="13" t="inlineStr">
        <is>
          <t>EVENT DAY</t>
        </is>
      </c>
      <c r="C30" s="13" t="inlineStr">
        <is>
          <t>Everyone</t>
        </is>
      </c>
      <c r="D30" s="14" t="inlineStr"/>
      <c r="E30" s="15" t="n">
        <v>46354</v>
      </c>
      <c r="F30" s="14" t="inlineStr">
        <is>
          <t>Not started</t>
        </is>
      </c>
      <c r="G30" s="14" t="inlineStr"/>
    </row>
    <row r="31">
      <c r="A31" s="12" t="n">
        <v>46356</v>
      </c>
      <c r="B31" s="13" t="inlineStr">
        <is>
          <t>Send thank-yous and certificates</t>
        </is>
      </c>
      <c r="C31" s="13" t="inlineStr">
        <is>
          <t>Partners</t>
        </is>
      </c>
      <c r="D31" s="14" t="inlineStr"/>
      <c r="E31" s="15" t="n">
        <v>46357</v>
      </c>
      <c r="F31" s="14" t="inlineStr">
        <is>
          <t>Not started</t>
        </is>
      </c>
      <c r="G31" s="14" t="inlineStr"/>
    </row>
    <row r="32">
      <c r="A32" s="12" t="n">
        <v>46356</v>
      </c>
      <c r="B32" s="13" t="inlineStr">
        <is>
          <t>Send CV packs to companies</t>
        </is>
      </c>
      <c r="C32" s="13" t="inlineStr">
        <is>
          <t>Partners</t>
        </is>
      </c>
      <c r="D32" s="14" t="inlineStr"/>
      <c r="E32" s="15" t="n">
        <v>46358</v>
      </c>
      <c r="F32" s="14" t="inlineStr">
        <is>
          <t>Not started</t>
        </is>
      </c>
      <c r="G32" s="14" t="inlineStr"/>
    </row>
    <row r="33">
      <c r="A33" s="12" t="n">
        <v>46356</v>
      </c>
      <c r="B33" s="13" t="inlineStr">
        <is>
          <t>Collect feedback; fix interview dates for top 5</t>
        </is>
      </c>
      <c r="C33" s="13" t="inlineStr">
        <is>
          <t>Partners</t>
        </is>
      </c>
      <c r="D33" s="14" t="inlineStr"/>
      <c r="E33" s="15" t="n">
        <v>46360</v>
      </c>
      <c r="F33" s="14" t="inlineStr">
        <is>
          <t>Not started</t>
        </is>
      </c>
      <c r="G33" s="14" t="inlineStr"/>
    </row>
    <row r="34">
      <c r="A34" s="12" t="n">
        <v>46363</v>
      </c>
      <c r="B34" s="13" t="inlineStr">
        <is>
          <t>Fill Results tab; send results sheet + Event 2 request to management</t>
        </is>
      </c>
      <c r="C34" s="13" t="inlineStr">
        <is>
          <t>Approvals</t>
        </is>
      </c>
      <c r="D34" s="14" t="inlineStr"/>
      <c r="E34" s="15" t="n">
        <v>46365</v>
      </c>
      <c r="F34" s="14" t="inlineStr">
        <is>
          <t>Not started</t>
        </is>
      </c>
      <c r="G34" s="14" t="inlineStr"/>
    </row>
  </sheetData>
  <conditionalFormatting sqref="F5:F20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00">
    <cfRule type="expression" priority="4" dxfId="2">
      <formula>AND($E5&lt;&gt;"",$E5&lt;TODAY(),$F5&lt;&gt;"Done")</formula>
    </cfRule>
  </conditionalFormatting>
  <dataValidations count="1">
    <dataValidation sqref="F5:F200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6" customWidth="1" min="3" max="3"/>
    <col width="15" customWidth="1" min="4" max="4"/>
    <col width="28" customWidth="1" min="5" max="5"/>
    <col width="50" customWidth="1" min="6" max="6"/>
  </cols>
  <sheetData>
    <row r="1">
      <c r="A1" s="1" t="inlineStr">
        <is>
          <t>Team</t>
        </is>
      </c>
    </row>
    <row r="2">
      <c r="A2" s="2" t="inlineStr">
        <is>
          <t>Fill names and contacts. Grey row = example.</t>
        </is>
      </c>
    </row>
    <row r="4">
      <c r="A4" s="11" t="inlineStr">
        <is>
          <t>Role</t>
        </is>
      </c>
      <c r="B4" s="11" t="inlineStr">
        <is>
          <t>People needed</t>
        </is>
      </c>
      <c r="C4" s="11" t="inlineStr">
        <is>
          <t>Name(s)</t>
        </is>
      </c>
      <c r="D4" s="11" t="inlineStr">
        <is>
          <t>Phone</t>
        </is>
      </c>
      <c r="E4" s="11" t="inlineStr">
        <is>
          <t>Email</t>
        </is>
      </c>
      <c r="F4" s="11" t="inlineStr">
        <is>
          <t>Main jobs</t>
        </is>
      </c>
    </row>
    <row r="5">
      <c r="A5" s="16" t="inlineStr">
        <is>
          <t>Example: Marketing</t>
        </is>
      </c>
      <c r="B5" s="16" t="n">
        <v>2</v>
      </c>
      <c r="C5" s="16" t="inlineStr">
        <is>
          <t>Riya Kumari, Aman Singh</t>
        </is>
      </c>
      <c r="D5" s="16" t="inlineStr">
        <is>
          <t>98XXXXXXXX</t>
        </is>
      </c>
      <c r="E5" s="16" t="inlineStr">
        <is>
          <t>riya@example.com</t>
        </is>
      </c>
      <c r="F5" s="16" t="inlineStr">
        <is>
          <t>Posters, reels, ambassadors</t>
        </is>
      </c>
    </row>
    <row r="6">
      <c r="A6" s="13" t="inlineStr">
        <is>
          <t>Faculty convener</t>
        </is>
      </c>
      <c r="B6" s="13" t="n">
        <v>1</v>
      </c>
      <c r="C6" s="14" t="inlineStr"/>
      <c r="D6" s="14" t="inlineStr"/>
      <c r="E6" s="14" t="inlineStr"/>
      <c r="F6" s="13" t="inlineStr">
        <is>
          <t>Approval, faculty judges, final calls</t>
        </is>
      </c>
    </row>
    <row r="7">
      <c r="A7" s="13" t="inlineStr">
        <is>
          <t>T&amp;P officer</t>
        </is>
      </c>
      <c r="B7" s="13" t="n">
        <v>1</v>
      </c>
      <c r="C7" s="14" t="inlineStr"/>
      <c r="D7" s="14" t="inlineStr"/>
      <c r="E7" s="14" t="inlineStr"/>
      <c r="F7" s="13" t="inlineStr">
        <is>
          <t>Company contacts, CV clinic, interview follow-up</t>
        </is>
      </c>
    </row>
    <row r="8">
      <c r="A8" s="13" t="inlineStr">
        <is>
          <t>Student lead</t>
        </is>
      </c>
      <c r="B8" s="13" t="n">
        <v>1</v>
      </c>
      <c r="C8" s="14" t="inlineStr"/>
      <c r="D8" s="14" t="inlineStr"/>
      <c r="E8" s="14" t="inlineStr"/>
      <c r="F8" s="13" t="inlineStr">
        <is>
          <t>Runs the team, daily check-ins, timeline</t>
        </is>
      </c>
    </row>
    <row r="9">
      <c r="A9" s="13" t="inlineStr">
        <is>
          <t>Company &amp; partner relations</t>
        </is>
      </c>
      <c r="B9" s="13" t="n">
        <v>2</v>
      </c>
      <c r="C9" s="14" t="inlineStr"/>
      <c r="D9" s="14" t="inlineStr"/>
      <c r="E9" s="14" t="inlineStr"/>
      <c r="F9" s="13" t="inlineStr">
        <is>
          <t>Companies, GfG/Unstop, alumni, speaker</t>
        </is>
      </c>
    </row>
    <row r="10">
      <c r="A10" s="13" t="inlineStr">
        <is>
          <t>Technical lead</t>
        </is>
      </c>
      <c r="B10" s="13" t="n">
        <v>2</v>
      </c>
      <c r="C10" s="14" t="inlineStr"/>
      <c r="D10" s="14" t="inlineStr"/>
      <c r="E10" s="14" t="inlineStr"/>
      <c r="F10" s="13" t="inlineStr">
        <is>
          <t>Contest platform, problems, labs, scoring</t>
        </is>
      </c>
    </row>
    <row r="11">
      <c r="A11" s="13" t="inlineStr">
        <is>
          <t>Marketing</t>
        </is>
      </c>
      <c r="B11" s="13" t="n">
        <v>2</v>
      </c>
      <c r="C11" s="14" t="inlineStr"/>
      <c r="D11" s="14" t="inlineStr"/>
      <c r="E11" s="14" t="inlineStr"/>
      <c r="F11" s="13" t="inlineStr">
        <is>
          <t>Posters, reels, class ambassadors, WhatsApp</t>
        </is>
      </c>
    </row>
    <row r="12">
      <c r="A12" s="13" t="inlineStr">
        <is>
          <t>Logistics &amp; hospitality</t>
        </is>
      </c>
      <c r="B12" s="13" t="n">
        <v>3</v>
      </c>
      <c r="C12" s="14" t="inlineStr"/>
      <c r="D12" s="14" t="inlineStr"/>
      <c r="E12" s="14" t="inlineStr"/>
      <c r="F12" s="13" t="inlineStr">
        <is>
          <t>Rooms, food, certificates, registration desk</t>
        </is>
      </c>
    </row>
    <row r="13">
      <c r="A13" s="13" t="inlineStr">
        <is>
          <t>Volunteers (event day)</t>
        </is>
      </c>
      <c r="B13" s="13" t="n">
        <v>10</v>
      </c>
      <c r="C13" s="14" t="inlineStr"/>
      <c r="D13" s="14" t="inlineStr"/>
      <c r="E13" s="14" t="inlineStr"/>
      <c r="F13" s="13" t="inlineStr">
        <is>
          <t>Desk, labs, guiding guests, photos</t>
        </is>
      </c>
    </row>
    <row r="14">
      <c r="A14" s="17" t="inlineStr">
        <is>
          <t>Total people</t>
        </is>
      </c>
      <c r="B14" s="13">
        <f>SUM(B6:B13)</f>
        <v/>
      </c>
      <c r="C14" s="13" t="inlineStr"/>
      <c r="D14" s="13" t="inlineStr"/>
      <c r="E14" s="13" t="inlineStr"/>
      <c r="F14" s="13" t="inlineStr"/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24" customWidth="1" min="4" max="4"/>
    <col width="34" customWidth="1" min="5" max="5"/>
    <col width="13" customWidth="1" min="6" max="6"/>
    <col width="13" customWidth="1" min="7" max="7"/>
    <col width="14" customWidth="1" min="8" max="8"/>
    <col width="15" customWidth="1" min="9" max="9"/>
    <col width="30" customWidth="1" min="10" max="10"/>
  </cols>
  <sheetData>
    <row r="1">
      <c r="A1" s="1" t="inlineStr">
        <is>
          <t>Partners &amp; outreach</t>
        </is>
      </c>
    </row>
    <row r="2">
      <c r="A2" s="2" t="inlineStr">
        <is>
          <t>Companies, platform, alumni/HR volunteers and speaker. Status drives the Dashboard counts.</t>
        </is>
      </c>
    </row>
    <row r="4">
      <c r="A4" s="11" t="inlineStr">
        <is>
          <t>Type</t>
        </is>
      </c>
      <c r="B4" s="11" t="inlineStr">
        <is>
          <t>Organisation / person</t>
        </is>
      </c>
      <c r="C4" s="11" t="inlineStr">
        <is>
          <t>Contact person</t>
        </is>
      </c>
      <c r="D4" s="11" t="inlineStr">
        <is>
          <t>Phone / email</t>
        </is>
      </c>
      <c r="E4" s="11" t="inlineStr">
        <is>
          <t>What we ask</t>
        </is>
      </c>
      <c r="F4" s="11" t="inlineStr">
        <is>
          <t>Date contacted</t>
        </is>
      </c>
      <c r="G4" s="11" t="inlineStr">
        <is>
          <t>Follow-up date</t>
        </is>
      </c>
      <c r="H4" s="11" t="inlineStr">
        <is>
          <t>Owner</t>
        </is>
      </c>
      <c r="I4" s="11" t="inlineStr">
        <is>
          <t>Status</t>
        </is>
      </c>
      <c r="J4" s="11" t="inlineStr">
        <is>
          <t>Notes</t>
        </is>
      </c>
    </row>
    <row r="5">
      <c r="A5" s="16" t="inlineStr">
        <is>
          <t>Example</t>
        </is>
      </c>
      <c r="B5" s="16" t="inlineStr">
        <is>
          <t>ABC Technologies, Patna</t>
        </is>
      </c>
      <c r="C5" s="16" t="inlineStr">
        <is>
          <t>HR Manager</t>
        </is>
      </c>
      <c r="D5" s="16" t="inlineStr">
        <is>
          <t>hr@example.com</t>
        </is>
      </c>
      <c r="E5" s="16" t="inlineStr">
        <is>
          <t>HR judge + interview top 5</t>
        </is>
      </c>
      <c r="F5" s="18" t="n">
        <v>46323</v>
      </c>
      <c r="G5" s="18" t="n">
        <v>46330</v>
      </c>
      <c r="H5" s="16" t="inlineStr">
        <is>
          <t>Aman</t>
        </is>
      </c>
      <c r="I5" s="16" t="inlineStr">
        <is>
          <t>Interested</t>
        </is>
      </c>
      <c r="J5" s="16" t="inlineStr">
        <is>
          <t>Call back Monday</t>
        </is>
      </c>
    </row>
    <row r="6">
      <c r="A6" s="13" t="inlineStr">
        <is>
          <t>Platform</t>
        </is>
      </c>
      <c r="B6" s="14" t="inlineStr">
        <is>
          <t>GeeksforGeeks</t>
        </is>
      </c>
      <c r="C6" s="14" t="inlineStr">
        <is>
          <t>Campus team</t>
        </is>
      </c>
      <c r="D6" s="14" t="inlineStr"/>
      <c r="E6" s="13" t="inlineStr">
        <is>
          <t>Co-host: platform, co-branded certificates, promotion</t>
        </is>
      </c>
      <c r="F6" s="15" t="n"/>
      <c r="G6" s="15" t="n"/>
      <c r="H6" s="14" t="inlineStr"/>
      <c r="I6" s="14" t="inlineStr">
        <is>
          <t>Not contacted</t>
        </is>
      </c>
      <c r="J6" s="14" t="inlineStr"/>
    </row>
    <row r="7">
      <c r="A7" s="13" t="inlineStr">
        <is>
          <t>Platform</t>
        </is>
      </c>
      <c r="B7" s="14" t="inlineStr">
        <is>
          <t>Unstop</t>
        </is>
      </c>
      <c r="C7" s="14" t="inlineStr">
        <is>
          <t>Campus team</t>
        </is>
      </c>
      <c r="D7" s="14" t="inlineStr"/>
      <c r="E7" s="13" t="inlineStr">
        <is>
          <t>Co-host: listing, certificates, promotion</t>
        </is>
      </c>
      <c r="F7" s="15" t="n"/>
      <c r="G7" s="15" t="n"/>
      <c r="H7" s="14" t="inlineStr"/>
      <c r="I7" s="14" t="inlineStr">
        <is>
          <t>Not contacted</t>
        </is>
      </c>
      <c r="J7" s="14" t="inlineStr"/>
    </row>
    <row r="8">
      <c r="A8" s="13" t="inlineStr">
        <is>
          <t>Company</t>
        </is>
      </c>
      <c r="B8" s="14" t="inlineStr"/>
      <c r="C8" s="14" t="inlineStr"/>
      <c r="D8" s="14" t="inlineStr"/>
      <c r="E8" s="13" t="inlineStr">
        <is>
          <t>HR/tech judge; interview top 5; CV pack</t>
        </is>
      </c>
      <c r="F8" s="15" t="n"/>
      <c r="G8" s="15" t="n"/>
      <c r="H8" s="14" t="inlineStr"/>
      <c r="I8" s="14" t="inlineStr">
        <is>
          <t>Not contacted</t>
        </is>
      </c>
      <c r="J8" s="14" t="inlineStr"/>
    </row>
    <row r="9">
      <c r="A9" s="13" t="inlineStr">
        <is>
          <t>Company</t>
        </is>
      </c>
      <c r="B9" s="14" t="inlineStr"/>
      <c r="C9" s="14" t="inlineStr"/>
      <c r="D9" s="14" t="inlineStr"/>
      <c r="E9" s="13" t="inlineStr">
        <is>
          <t>HR/tech judge; interview top 5; CV pack</t>
        </is>
      </c>
      <c r="F9" s="15" t="n"/>
      <c r="G9" s="15" t="n"/>
      <c r="H9" s="14" t="inlineStr"/>
      <c r="I9" s="14" t="inlineStr">
        <is>
          <t>Not contacted</t>
        </is>
      </c>
      <c r="J9" s="14" t="inlineStr"/>
    </row>
    <row r="10">
      <c r="A10" s="13" t="inlineStr">
        <is>
          <t>Company</t>
        </is>
      </c>
      <c r="B10" s="14" t="inlineStr"/>
      <c r="C10" s="14" t="inlineStr"/>
      <c r="D10" s="14" t="inlineStr"/>
      <c r="E10" s="13" t="inlineStr">
        <is>
          <t>HR/tech judge; interview top 5; CV pack</t>
        </is>
      </c>
      <c r="F10" s="15" t="n"/>
      <c r="G10" s="15" t="n"/>
      <c r="H10" s="14" t="inlineStr"/>
      <c r="I10" s="14" t="inlineStr">
        <is>
          <t>Not contacted</t>
        </is>
      </c>
      <c r="J10" s="14" t="inlineStr"/>
    </row>
    <row r="11">
      <c r="A11" s="13" t="inlineStr">
        <is>
          <t>Company</t>
        </is>
      </c>
      <c r="B11" s="14" t="inlineStr"/>
      <c r="C11" s="14" t="inlineStr"/>
      <c r="D11" s="14" t="inlineStr"/>
      <c r="E11" s="13" t="inlineStr">
        <is>
          <t>HR/tech judge; interview top 5; CV pack</t>
        </is>
      </c>
      <c r="F11" s="15" t="n"/>
      <c r="G11" s="15" t="n"/>
      <c r="H11" s="14" t="inlineStr"/>
      <c r="I11" s="14" t="inlineStr">
        <is>
          <t>Not contacted</t>
        </is>
      </c>
      <c r="J11" s="14" t="inlineStr"/>
    </row>
    <row r="12">
      <c r="A12" s="13" t="inlineStr">
        <is>
          <t>Company</t>
        </is>
      </c>
      <c r="B12" s="14" t="inlineStr"/>
      <c r="C12" s="14" t="inlineStr"/>
      <c r="D12" s="14" t="inlineStr"/>
      <c r="E12" s="13" t="inlineStr">
        <is>
          <t>HR/tech judge; interview top 5; CV pack</t>
        </is>
      </c>
      <c r="F12" s="15" t="n"/>
      <c r="G12" s="15" t="n"/>
      <c r="H12" s="14" t="inlineStr"/>
      <c r="I12" s="14" t="inlineStr">
        <is>
          <t>Not contacted</t>
        </is>
      </c>
      <c r="J12" s="14" t="inlineStr"/>
    </row>
    <row r="13">
      <c r="A13" s="13" t="inlineStr">
        <is>
          <t>Company</t>
        </is>
      </c>
      <c r="B13" s="14" t="inlineStr"/>
      <c r="C13" s="14" t="inlineStr"/>
      <c r="D13" s="14" t="inlineStr"/>
      <c r="E13" s="13" t="inlineStr">
        <is>
          <t>HR/tech judge; interview top 5; CV pack</t>
        </is>
      </c>
      <c r="F13" s="15" t="n"/>
      <c r="G13" s="15" t="n"/>
      <c r="H13" s="14" t="inlineStr"/>
      <c r="I13" s="14" t="inlineStr">
        <is>
          <t>Not contacted</t>
        </is>
      </c>
      <c r="J13" s="14" t="inlineStr"/>
    </row>
    <row r="14">
      <c r="A14" s="13" t="inlineStr">
        <is>
          <t>Company</t>
        </is>
      </c>
      <c r="B14" s="14" t="inlineStr"/>
      <c r="C14" s="14" t="inlineStr"/>
      <c r="D14" s="14" t="inlineStr"/>
      <c r="E14" s="13" t="inlineStr">
        <is>
          <t>HR/tech judge; interview top 5; CV pack</t>
        </is>
      </c>
      <c r="F14" s="15" t="n"/>
      <c r="G14" s="15" t="n"/>
      <c r="H14" s="14" t="inlineStr"/>
      <c r="I14" s="14" t="inlineStr">
        <is>
          <t>Not contacted</t>
        </is>
      </c>
      <c r="J14" s="14" t="inlineStr"/>
    </row>
    <row r="15">
      <c r="A15" s="13" t="inlineStr">
        <is>
          <t>Company</t>
        </is>
      </c>
      <c r="B15" s="14" t="inlineStr"/>
      <c r="C15" s="14" t="inlineStr"/>
      <c r="D15" s="14" t="inlineStr"/>
      <c r="E15" s="13" t="inlineStr">
        <is>
          <t>HR/tech judge; interview top 5; CV pack</t>
        </is>
      </c>
      <c r="F15" s="15" t="n"/>
      <c r="G15" s="15" t="n"/>
      <c r="H15" s="14" t="inlineStr"/>
      <c r="I15" s="14" t="inlineStr">
        <is>
          <t>Not contacted</t>
        </is>
      </c>
      <c r="J15" s="14" t="inlineStr"/>
    </row>
    <row r="16">
      <c r="A16" s="13" t="inlineStr">
        <is>
          <t>Company</t>
        </is>
      </c>
      <c r="B16" s="14" t="inlineStr"/>
      <c r="C16" s="14" t="inlineStr"/>
      <c r="D16" s="14" t="inlineStr"/>
      <c r="E16" s="13" t="inlineStr">
        <is>
          <t>HR/tech judge; interview top 5; CV pack</t>
        </is>
      </c>
      <c r="F16" s="15" t="n"/>
      <c r="G16" s="15" t="n"/>
      <c r="H16" s="14" t="inlineStr"/>
      <c r="I16" s="14" t="inlineStr">
        <is>
          <t>Not contacted</t>
        </is>
      </c>
      <c r="J16" s="14" t="inlineStr"/>
    </row>
    <row r="17">
      <c r="A17" s="13" t="inlineStr">
        <is>
          <t>Company</t>
        </is>
      </c>
      <c r="B17" s="14" t="inlineStr"/>
      <c r="C17" s="14" t="inlineStr"/>
      <c r="D17" s="14" t="inlineStr"/>
      <c r="E17" s="13" t="inlineStr">
        <is>
          <t>HR/tech judge; interview top 5; CV pack</t>
        </is>
      </c>
      <c r="F17" s="15" t="n"/>
      <c r="G17" s="15" t="n"/>
      <c r="H17" s="14" t="inlineStr"/>
      <c r="I17" s="14" t="inlineStr">
        <is>
          <t>Not contacted</t>
        </is>
      </c>
      <c r="J17" s="14" t="inlineStr"/>
    </row>
    <row r="18">
      <c r="A18" s="13" t="inlineStr">
        <is>
          <t>Company</t>
        </is>
      </c>
      <c r="B18" s="14" t="inlineStr"/>
      <c r="C18" s="14" t="inlineStr"/>
      <c r="D18" s="14" t="inlineStr"/>
      <c r="E18" s="13" t="inlineStr">
        <is>
          <t>HR/tech judge; interview top 5; CV pack</t>
        </is>
      </c>
      <c r="F18" s="15" t="n"/>
      <c r="G18" s="15" t="n"/>
      <c r="H18" s="14" t="inlineStr"/>
      <c r="I18" s="14" t="inlineStr">
        <is>
          <t>Not contacted</t>
        </is>
      </c>
      <c r="J18" s="14" t="inlineStr"/>
    </row>
    <row r="19">
      <c r="A19" s="13" t="inlineStr">
        <is>
          <t>Company</t>
        </is>
      </c>
      <c r="B19" s="14" t="inlineStr"/>
      <c r="C19" s="14" t="inlineStr"/>
      <c r="D19" s="14" t="inlineStr"/>
      <c r="E19" s="13" t="inlineStr">
        <is>
          <t>HR/tech judge; interview top 5; CV pack</t>
        </is>
      </c>
      <c r="F19" s="15" t="n"/>
      <c r="G19" s="15" t="n"/>
      <c r="H19" s="14" t="inlineStr"/>
      <c r="I19" s="14" t="inlineStr">
        <is>
          <t>Not contacted</t>
        </is>
      </c>
      <c r="J19" s="14" t="inlineStr"/>
    </row>
    <row r="20">
      <c r="A20" s="13" t="inlineStr">
        <is>
          <t>Company</t>
        </is>
      </c>
      <c r="B20" s="14" t="inlineStr"/>
      <c r="C20" s="14" t="inlineStr"/>
      <c r="D20" s="14" t="inlineStr"/>
      <c r="E20" s="13" t="inlineStr">
        <is>
          <t>HR/tech judge; interview top 5; CV pack</t>
        </is>
      </c>
      <c r="F20" s="15" t="n"/>
      <c r="G20" s="15" t="n"/>
      <c r="H20" s="14" t="inlineStr"/>
      <c r="I20" s="14" t="inlineStr">
        <is>
          <t>Not contacted</t>
        </is>
      </c>
      <c r="J20" s="14" t="inlineStr"/>
    </row>
    <row r="21">
      <c r="A21" s="13" t="inlineStr">
        <is>
          <t>Company</t>
        </is>
      </c>
      <c r="B21" s="14" t="inlineStr"/>
      <c r="C21" s="14" t="inlineStr"/>
      <c r="D21" s="14" t="inlineStr"/>
      <c r="E21" s="13" t="inlineStr">
        <is>
          <t>HR/tech judge; interview top 5; CV pack</t>
        </is>
      </c>
      <c r="F21" s="15" t="n"/>
      <c r="G21" s="15" t="n"/>
      <c r="H21" s="14" t="inlineStr"/>
      <c r="I21" s="14" t="inlineStr">
        <is>
          <t>Not contacted</t>
        </is>
      </c>
      <c r="J21" s="14" t="inlineStr"/>
    </row>
    <row r="22">
      <c r="A22" s="13" t="inlineStr">
        <is>
          <t>Company</t>
        </is>
      </c>
      <c r="B22" s="14" t="inlineStr"/>
      <c r="C22" s="14" t="inlineStr"/>
      <c r="D22" s="14" t="inlineStr"/>
      <c r="E22" s="13" t="inlineStr">
        <is>
          <t>HR/tech judge; interview top 5; CV pack</t>
        </is>
      </c>
      <c r="F22" s="15" t="n"/>
      <c r="G22" s="15" t="n"/>
      <c r="H22" s="14" t="inlineStr"/>
      <c r="I22" s="14" t="inlineStr">
        <is>
          <t>Not contacted</t>
        </is>
      </c>
      <c r="J22" s="14" t="inlineStr"/>
    </row>
    <row r="23">
      <c r="A23" s="13" t="inlineStr">
        <is>
          <t>Alumni / HR</t>
        </is>
      </c>
      <c r="B23" s="14" t="inlineStr"/>
      <c r="C23" s="14" t="inlineStr"/>
      <c r="D23" s="14" t="inlineStr"/>
      <c r="E23" s="13" t="inlineStr">
        <is>
          <t>CV review + mock interviews (2–3 h)</t>
        </is>
      </c>
      <c r="F23" s="15" t="n"/>
      <c r="G23" s="15" t="n"/>
      <c r="H23" s="14" t="inlineStr"/>
      <c r="I23" s="14" t="inlineStr">
        <is>
          <t>Not contacted</t>
        </is>
      </c>
      <c r="J23" s="14" t="inlineStr"/>
    </row>
    <row r="24">
      <c r="A24" s="13" t="inlineStr">
        <is>
          <t>Alumni / HR</t>
        </is>
      </c>
      <c r="B24" s="14" t="inlineStr"/>
      <c r="C24" s="14" t="inlineStr"/>
      <c r="D24" s="14" t="inlineStr"/>
      <c r="E24" s="13" t="inlineStr">
        <is>
          <t>CV review + mock interviews (2–3 h)</t>
        </is>
      </c>
      <c r="F24" s="15" t="n"/>
      <c r="G24" s="15" t="n"/>
      <c r="H24" s="14" t="inlineStr"/>
      <c r="I24" s="14" t="inlineStr">
        <is>
          <t>Not contacted</t>
        </is>
      </c>
      <c r="J24" s="14" t="inlineStr"/>
    </row>
    <row r="25">
      <c r="A25" s="13" t="inlineStr">
        <is>
          <t>Alumni / HR</t>
        </is>
      </c>
      <c r="B25" s="14" t="inlineStr"/>
      <c r="C25" s="14" t="inlineStr"/>
      <c r="D25" s="14" t="inlineStr"/>
      <c r="E25" s="13" t="inlineStr">
        <is>
          <t>CV review + mock interviews (2–3 h)</t>
        </is>
      </c>
      <c r="F25" s="15" t="n"/>
      <c r="G25" s="15" t="n"/>
      <c r="H25" s="14" t="inlineStr"/>
      <c r="I25" s="14" t="inlineStr">
        <is>
          <t>Not contacted</t>
        </is>
      </c>
      <c r="J25" s="14" t="inlineStr"/>
    </row>
    <row r="26">
      <c r="A26" s="13" t="inlineStr">
        <is>
          <t>Alumni / HR</t>
        </is>
      </c>
      <c r="B26" s="14" t="inlineStr"/>
      <c r="C26" s="14" t="inlineStr"/>
      <c r="D26" s="14" t="inlineStr"/>
      <c r="E26" s="13" t="inlineStr">
        <is>
          <t>CV review + mock interviews (2–3 h)</t>
        </is>
      </c>
      <c r="F26" s="15" t="n"/>
      <c r="G26" s="15" t="n"/>
      <c r="H26" s="14" t="inlineStr"/>
      <c r="I26" s="14" t="inlineStr">
        <is>
          <t>Not contacted</t>
        </is>
      </c>
      <c r="J26" s="14" t="inlineStr"/>
    </row>
    <row r="27">
      <c r="A27" s="13" t="inlineStr">
        <is>
          <t>Alumni / HR</t>
        </is>
      </c>
      <c r="B27" s="14" t="inlineStr"/>
      <c r="C27" s="14" t="inlineStr"/>
      <c r="D27" s="14" t="inlineStr"/>
      <c r="E27" s="13" t="inlineStr">
        <is>
          <t>CV review + mock interviews (2–3 h)</t>
        </is>
      </c>
      <c r="F27" s="15" t="n"/>
      <c r="G27" s="15" t="n"/>
      <c r="H27" s="14" t="inlineStr"/>
      <c r="I27" s="14" t="inlineStr">
        <is>
          <t>Not contacted</t>
        </is>
      </c>
      <c r="J27" s="14" t="inlineStr"/>
    </row>
    <row r="28">
      <c r="A28" s="13" t="inlineStr">
        <is>
          <t>Alumni / HR</t>
        </is>
      </c>
      <c r="B28" s="14" t="inlineStr"/>
      <c r="C28" s="14" t="inlineStr"/>
      <c r="D28" s="14" t="inlineStr"/>
      <c r="E28" s="13" t="inlineStr">
        <is>
          <t>CV review + mock interviews (2–3 h)</t>
        </is>
      </c>
      <c r="F28" s="15" t="n"/>
      <c r="G28" s="15" t="n"/>
      <c r="H28" s="14" t="inlineStr"/>
      <c r="I28" s="14" t="inlineStr">
        <is>
          <t>Not contacted</t>
        </is>
      </c>
      <c r="J28" s="14" t="inlineStr"/>
    </row>
    <row r="29">
      <c r="A29" s="13" t="inlineStr">
        <is>
          <t>Alumni / HR</t>
        </is>
      </c>
      <c r="B29" s="14" t="inlineStr"/>
      <c r="C29" s="14" t="inlineStr"/>
      <c r="D29" s="14" t="inlineStr"/>
      <c r="E29" s="13" t="inlineStr">
        <is>
          <t>CV review + mock interviews (2–3 h)</t>
        </is>
      </c>
      <c r="F29" s="15" t="n"/>
      <c r="G29" s="15" t="n"/>
      <c r="H29" s="14" t="inlineStr"/>
      <c r="I29" s="14" t="inlineStr">
        <is>
          <t>Not contacted</t>
        </is>
      </c>
      <c r="J29" s="14" t="inlineStr"/>
    </row>
    <row r="30">
      <c r="A30" s="13" t="inlineStr">
        <is>
          <t>Alumni / HR</t>
        </is>
      </c>
      <c r="B30" s="14" t="inlineStr"/>
      <c r="C30" s="14" t="inlineStr"/>
      <c r="D30" s="14" t="inlineStr"/>
      <c r="E30" s="13" t="inlineStr">
        <is>
          <t>CV review + mock interviews (2–3 h)</t>
        </is>
      </c>
      <c r="F30" s="15" t="n"/>
      <c r="G30" s="15" t="n"/>
      <c r="H30" s="14" t="inlineStr"/>
      <c r="I30" s="14" t="inlineStr">
        <is>
          <t>Not contacted</t>
        </is>
      </c>
      <c r="J30" s="14" t="inlineStr"/>
    </row>
    <row r="31">
      <c r="A31" s="13" t="inlineStr">
        <is>
          <t>Alumni / HR</t>
        </is>
      </c>
      <c r="B31" s="14" t="inlineStr"/>
      <c r="C31" s="14" t="inlineStr"/>
      <c r="D31" s="14" t="inlineStr"/>
      <c r="E31" s="13" t="inlineStr">
        <is>
          <t>CV review + mock interviews (2–3 h)</t>
        </is>
      </c>
      <c r="F31" s="15" t="n"/>
      <c r="G31" s="15" t="n"/>
      <c r="H31" s="14" t="inlineStr"/>
      <c r="I31" s="14" t="inlineStr">
        <is>
          <t>Not contacted</t>
        </is>
      </c>
      <c r="J31" s="14" t="inlineStr"/>
    </row>
    <row r="32">
      <c r="A32" s="13" t="inlineStr">
        <is>
          <t>Alumni / HR</t>
        </is>
      </c>
      <c r="B32" s="14" t="inlineStr"/>
      <c r="C32" s="14" t="inlineStr"/>
      <c r="D32" s="14" t="inlineStr"/>
      <c r="E32" s="13" t="inlineStr">
        <is>
          <t>CV review + mock interviews (2–3 h)</t>
        </is>
      </c>
      <c r="F32" s="15" t="n"/>
      <c r="G32" s="15" t="n"/>
      <c r="H32" s="14" t="inlineStr"/>
      <c r="I32" s="14" t="inlineStr">
        <is>
          <t>Not contacted</t>
        </is>
      </c>
      <c r="J32" s="14" t="inlineStr"/>
    </row>
    <row r="33">
      <c r="A33" s="13" t="inlineStr">
        <is>
          <t>Speaker</t>
        </is>
      </c>
      <c r="B33" s="14" t="inlineStr"/>
      <c r="C33" s="14" t="inlineStr"/>
      <c r="D33" s="14" t="inlineStr"/>
      <c r="E33" s="13" t="inlineStr">
        <is>
          <t>30–45 min talk: what companies look for in freshers</t>
        </is>
      </c>
      <c r="F33" s="15" t="n"/>
      <c r="G33" s="15" t="n"/>
      <c r="H33" s="14" t="inlineStr"/>
      <c r="I33" s="14" t="inlineStr">
        <is>
          <t>Not contacted</t>
        </is>
      </c>
      <c r="J33" s="14" t="inlineStr"/>
    </row>
    <row r="34">
      <c r="A34" s="13" t="inlineStr">
        <is>
          <t>Speaker</t>
        </is>
      </c>
      <c r="B34" s="14" t="inlineStr"/>
      <c r="C34" s="14" t="inlineStr"/>
      <c r="D34" s="14" t="inlineStr"/>
      <c r="E34" s="13" t="inlineStr">
        <is>
          <t>30–45 min talk: what companies look for in freshers</t>
        </is>
      </c>
      <c r="F34" s="15" t="n"/>
      <c r="G34" s="15" t="n"/>
      <c r="H34" s="14" t="inlineStr"/>
      <c r="I34" s="14" t="inlineStr">
        <is>
          <t>Not contacted</t>
        </is>
      </c>
      <c r="J34" s="14" t="inlineStr"/>
    </row>
    <row r="35">
      <c r="A35" s="13" t="inlineStr">
        <is>
          <t>Speaker</t>
        </is>
      </c>
      <c r="B35" s="14" t="inlineStr"/>
      <c r="C35" s="14" t="inlineStr"/>
      <c r="D35" s="14" t="inlineStr"/>
      <c r="E35" s="13" t="inlineStr">
        <is>
          <t>30–45 min talk: what companies look for in freshers</t>
        </is>
      </c>
      <c r="F35" s="15" t="n"/>
      <c r="G35" s="15" t="n"/>
      <c r="H35" s="14" t="inlineStr"/>
      <c r="I35" s="14" t="inlineStr">
        <is>
          <t>Not contacted</t>
        </is>
      </c>
      <c r="J35" s="14" t="inlineStr"/>
    </row>
  </sheetData>
  <conditionalFormatting sqref="I5:I200">
    <cfRule type="cellIs" priority="1" operator="equal" dxfId="0">
      <formula>"Confirmed"</formula>
    </cfRule>
    <cfRule type="cellIs" priority="2" operator="equal" dxfId="1">
      <formula>"Interested"</formula>
    </cfRule>
    <cfRule type="cellIs" priority="3" operator="equal" dxfId="3">
      <formula>"Contacted"</formula>
    </cfRule>
    <cfRule type="cellIs" priority="4" operator="equal" dxfId="2">
      <formula>"Declined"</formula>
    </cfRule>
  </conditionalFormatting>
  <dataValidations count="2">
    <dataValidation sqref="A5:A200" showDropDown="0" showInputMessage="0" showErrorMessage="0" allowBlank="1" type="list">
      <formula1>"Company,Platform,Alumni / HR,Speaker,Sponsor,Example"</formula1>
    </dataValidation>
    <dataValidation sqref="I5:I200" showDropDown="0" showInputMessage="0" showErrorMessage="0" allowBlank="1" type="list">
      <formula1>"Not contacted,Contacted,Interested,Confirmed,Declined"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6" customWidth="1" min="5" max="5"/>
    <col width="36" customWidth="1" min="6" max="6"/>
  </cols>
  <sheetData>
    <row r="1">
      <c r="A1" s="1" t="inlineStr">
        <is>
          <t>Budget (₹)</t>
        </is>
      </c>
    </row>
    <row r="2">
      <c r="A2" s="2" t="inlineStr">
        <is>
          <t>Plan ranges are estimates from the Event 1 plan. Enter actual spend as bills come in.</t>
        </is>
      </c>
    </row>
    <row r="4">
      <c r="A4" s="11" t="inlineStr">
        <is>
          <t>Item</t>
        </is>
      </c>
      <c r="B4" s="11" t="inlineStr">
        <is>
          <t>Planned min</t>
        </is>
      </c>
      <c r="C4" s="11" t="inlineStr">
        <is>
          <t>Planned max</t>
        </is>
      </c>
      <c r="D4" s="11" t="inlineStr">
        <is>
          <t>Actual spent</t>
        </is>
      </c>
      <c r="E4" s="11" t="inlineStr">
        <is>
          <t>Paid by</t>
        </is>
      </c>
      <c r="F4" s="11" t="inlineStr">
        <is>
          <t>Notes</t>
        </is>
      </c>
    </row>
    <row r="5">
      <c r="A5" s="13" t="inlineStr">
        <is>
          <t>Snacks, lunch boxes and tea (100–120 people)</t>
        </is>
      </c>
      <c r="B5" s="19" t="n">
        <v>5000</v>
      </c>
      <c r="C5" s="19" t="n">
        <v>7000</v>
      </c>
      <c r="D5" s="19" t="n"/>
      <c r="E5" s="14" t="inlineStr"/>
      <c r="F5" s="14" t="inlineStr">
        <is>
          <t>Ask canteen for bulk rate</t>
        </is>
      </c>
    </row>
    <row r="6">
      <c r="A6" s="13" t="inlineStr">
        <is>
          <t>Prizes and goodies</t>
        </is>
      </c>
      <c r="B6" s="19" t="n">
        <v>2000</v>
      </c>
      <c r="C6" s="19" t="n">
        <v>3000</v>
      </c>
      <c r="D6" s="19" t="n"/>
      <c r="E6" s="14" t="inlineStr"/>
      <c r="F6" s="14" t="inlineStr">
        <is>
          <t>Or swag from GfG/Unstop/companies</t>
        </is>
      </c>
    </row>
    <row r="7">
      <c r="A7" s="13" t="inlineStr">
        <is>
          <t>Certificates and printing (posters, ID cards)</t>
        </is>
      </c>
      <c r="B7" s="19" t="n">
        <v>1500</v>
      </c>
      <c r="C7" s="19" t="n">
        <v>2000</v>
      </c>
      <c r="D7" s="19" t="n"/>
      <c r="E7" s="14" t="inlineStr"/>
      <c r="F7" s="14" t="inlineStr">
        <is>
          <t>E-certificates save cost</t>
        </is>
      </c>
    </row>
    <row r="8">
      <c r="A8" s="13" t="inlineStr">
        <is>
          <t>Speaker memento / travel</t>
        </is>
      </c>
      <c r="B8" s="19" t="n">
        <v>1000</v>
      </c>
      <c r="C8" s="19" t="n">
        <v>2000</v>
      </c>
      <c r="D8" s="19" t="n"/>
      <c r="E8" s="14" t="inlineStr"/>
      <c r="F8" s="14" t="inlineStr">
        <is>
          <t>Lower if speaker is local or online</t>
        </is>
      </c>
    </row>
    <row r="9">
      <c r="A9" s="13" t="inlineStr">
        <is>
          <t>Miscellaneous (stationery, banners)</t>
        </is>
      </c>
      <c r="B9" s="19" t="n">
        <v>500</v>
      </c>
      <c r="C9" s="19" t="n">
        <v>1000</v>
      </c>
      <c r="D9" s="19" t="n"/>
      <c r="E9" s="14" t="inlineStr"/>
      <c r="F9" s="14" t="inlineStr"/>
    </row>
    <row r="10">
      <c r="A10" s="14" t="inlineStr">
        <is>
          <t>(add item)</t>
        </is>
      </c>
      <c r="B10" s="19" t="n"/>
      <c r="C10" s="19" t="n"/>
      <c r="D10" s="19" t="n"/>
      <c r="E10" s="14" t="inlineStr"/>
      <c r="F10" s="14" t="inlineStr"/>
    </row>
    <row r="11">
      <c r="A11" s="17" t="inlineStr">
        <is>
          <t>Total</t>
        </is>
      </c>
      <c r="B11" s="20">
        <f>SUM(B5:B10)</f>
        <v/>
      </c>
      <c r="C11" s="20">
        <f>SUM(C5:C10)</f>
        <v/>
      </c>
      <c r="D11" s="20">
        <f>SUM(D5:D10)</f>
        <v/>
      </c>
      <c r="E11" s="13" t="inlineStr"/>
      <c r="F11" s="13" t="inlineStr"/>
    </row>
    <row r="13">
      <c r="A13" s="21" t="inlineStr">
        <is>
          <t>SPONSOR INCOME</t>
        </is>
      </c>
    </row>
    <row r="14">
      <c r="A14" s="22" t="inlineStr">
        <is>
          <t>Sponsor</t>
        </is>
      </c>
      <c r="B14" s="22" t="inlineStr">
        <is>
          <t>Type (cash / in kind)</t>
        </is>
      </c>
      <c r="C14" s="22" t="inlineStr">
        <is>
          <t>Amount received (₹)</t>
        </is>
      </c>
    </row>
    <row r="15">
      <c r="A15" s="14" t="inlineStr"/>
      <c r="B15" s="14" t="inlineStr"/>
      <c r="C15" s="19" t="n"/>
    </row>
    <row r="16">
      <c r="A16" s="14" t="inlineStr"/>
      <c r="B16" s="14" t="inlineStr"/>
      <c r="C16" s="19" t="n"/>
    </row>
    <row r="17">
      <c r="A17" s="17" t="inlineStr">
        <is>
          <t>Total sponsor money</t>
        </is>
      </c>
      <c r="B17" s="13" t="inlineStr"/>
      <c r="C17" s="20">
        <f>SUM(C15:C16)</f>
        <v/>
      </c>
    </row>
    <row r="19">
      <c r="A19" s="10" t="inlineStr">
        <is>
          <t>Source of planned figures: Event 1 plan (Event1_Hire_Ready_Day_Plan.docx, section 7) – estimates, replace with real quotes.</t>
        </is>
      </c>
    </row>
  </sheetData>
  <dataValidations count="1">
    <dataValidation sqref="E5:E10" showDropDown="0" showInputMessage="0" showErrorMessage="0" allowBlank="1" type="list">
      <formula1>"Amity,Sponsor,In kind"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7" customWidth="1" min="4" max="4"/>
    <col width="17" customWidth="1" min="5" max="5"/>
    <col width="18" customWidth="1" min="6" max="6"/>
    <col width="13" customWidth="1" min="7" max="7"/>
    <col width="15" customWidth="1" min="8" max="8"/>
  </cols>
  <sheetData>
    <row r="1">
      <c r="A1" s="1" t="inlineStr">
        <is>
          <t>Registrations</t>
        </is>
      </c>
    </row>
    <row r="2">
      <c r="A2" s="2" t="inlineStr">
        <is>
          <t>Copy counts from the registration form (Google Form / platform) each day, by department and track.</t>
        </is>
      </c>
    </row>
    <row r="4">
      <c r="A4" s="11" t="inlineStr">
        <is>
          <t>Department</t>
        </is>
      </c>
      <c r="B4" s="11" t="inlineStr">
        <is>
          <t>Beginner coding</t>
        </is>
      </c>
      <c r="C4" s="11" t="inlineStr">
        <is>
          <t>Advanced coding</t>
        </is>
      </c>
      <c r="D4" s="11" t="inlineStr">
        <is>
          <t>Idea pitch (people)</t>
        </is>
      </c>
      <c r="E4" s="11" t="inlineStr">
        <is>
          <t>Attended (event day)</t>
        </is>
      </c>
      <c r="F4" s="11" t="inlineStr">
        <is>
          <t>Mock interview requests</t>
        </is>
      </c>
      <c r="G4" s="11" t="inlineStr">
        <is>
          <t>CVs uploaded</t>
        </is>
      </c>
      <c r="H4" s="11" t="inlineStr">
        <is>
          <t>Total registered</t>
        </is>
      </c>
    </row>
    <row r="5">
      <c r="A5" s="14" t="inlineStr">
        <is>
          <t>CSE / IT</t>
        </is>
      </c>
      <c r="B5" s="14" t="n"/>
      <c r="C5" s="14" t="n"/>
      <c r="D5" s="14" t="n"/>
      <c r="E5" s="14" t="n"/>
      <c r="F5" s="14" t="n"/>
      <c r="G5" s="14" t="n"/>
      <c r="H5" s="13">
        <f>SUM(B5:D5)</f>
        <v/>
      </c>
    </row>
    <row r="6">
      <c r="A6" s="14" t="inlineStr">
        <is>
          <t>BCA / MCA</t>
        </is>
      </c>
      <c r="B6" s="14" t="n"/>
      <c r="C6" s="14" t="n"/>
      <c r="D6" s="14" t="n"/>
      <c r="E6" s="14" t="n"/>
      <c r="F6" s="14" t="n"/>
      <c r="G6" s="14" t="n"/>
      <c r="H6" s="13">
        <f>SUM(B6:D6)</f>
        <v/>
      </c>
    </row>
    <row r="7">
      <c r="A7" s="14" t="inlineStr">
        <is>
          <t>ECE / EEE</t>
        </is>
      </c>
      <c r="B7" s="14" t="n"/>
      <c r="C7" s="14" t="n"/>
      <c r="D7" s="14" t="n"/>
      <c r="E7" s="14" t="n"/>
      <c r="F7" s="14" t="n"/>
      <c r="G7" s="14" t="n"/>
      <c r="H7" s="13">
        <f>SUM(B7:D7)</f>
        <v/>
      </c>
    </row>
    <row r="8">
      <c r="A8" s="14" t="inlineStr">
        <is>
          <t>Mechanical / Civil</t>
        </is>
      </c>
      <c r="B8" s="14" t="n"/>
      <c r="C8" s="14" t="n"/>
      <c r="D8" s="14" t="n"/>
      <c r="E8" s="14" t="n"/>
      <c r="F8" s="14" t="n"/>
      <c r="G8" s="14" t="n"/>
      <c r="H8" s="13">
        <f>SUM(B8:D8)</f>
        <v/>
      </c>
    </row>
    <row r="9">
      <c r="A9" s="14" t="inlineStr">
        <is>
          <t>Management (BBA/MBA)</t>
        </is>
      </c>
      <c r="B9" s="14" t="n"/>
      <c r="C9" s="14" t="n"/>
      <c r="D9" s="14" t="n"/>
      <c r="E9" s="14" t="n"/>
      <c r="F9" s="14" t="n"/>
      <c r="G9" s="14" t="n"/>
      <c r="H9" s="13">
        <f>SUM(B9:D9)</f>
        <v/>
      </c>
    </row>
    <row r="10">
      <c r="A10" s="14" t="inlineStr">
        <is>
          <t>Commerce / Other</t>
        </is>
      </c>
      <c r="B10" s="14" t="n"/>
      <c r="C10" s="14" t="n"/>
      <c r="D10" s="14" t="n"/>
      <c r="E10" s="14" t="n"/>
      <c r="F10" s="14" t="n"/>
      <c r="G10" s="14" t="n"/>
      <c r="H10" s="13">
        <f>SUM(B10:D10)</f>
        <v/>
      </c>
    </row>
    <row r="11">
      <c r="A11" s="14" t="inlineStr">
        <is>
          <t>Sciences</t>
        </is>
      </c>
      <c r="B11" s="14" t="n"/>
      <c r="C11" s="14" t="n"/>
      <c r="D11" s="14" t="n"/>
      <c r="E11" s="14" t="n"/>
      <c r="F11" s="14" t="n"/>
      <c r="G11" s="14" t="n"/>
      <c r="H11" s="13">
        <f>SUM(B11:D11)</f>
        <v/>
      </c>
    </row>
    <row r="12">
      <c r="A12" s="14" t="inlineStr">
        <is>
          <t>Other</t>
        </is>
      </c>
      <c r="B12" s="14" t="n"/>
      <c r="C12" s="14" t="n"/>
      <c r="D12" s="14" t="n"/>
      <c r="E12" s="14" t="n"/>
      <c r="F12" s="14" t="n"/>
      <c r="G12" s="14" t="n"/>
      <c r="H12" s="13">
        <f>SUM(B12:D12)</f>
        <v/>
      </c>
    </row>
    <row r="13">
      <c r="A13" s="14" t="inlineStr"/>
      <c r="B13" s="14" t="n"/>
      <c r="C13" s="14" t="n"/>
      <c r="D13" s="14" t="n"/>
      <c r="E13" s="14" t="n"/>
      <c r="F13" s="14" t="n"/>
      <c r="G13" s="14" t="n"/>
      <c r="H13" s="13">
        <f>SUM(B13:D13)</f>
        <v/>
      </c>
    </row>
    <row r="14">
      <c r="A14" s="17" t="inlineStr">
        <is>
          <t>Total</t>
        </is>
      </c>
      <c r="B14" s="17">
        <f>SUM(B5:B13)</f>
        <v/>
      </c>
      <c r="C14" s="17">
        <f>SUM(C5:C13)</f>
        <v/>
      </c>
      <c r="D14" s="17">
        <f>SUM(D5:D13)</f>
        <v/>
      </c>
      <c r="E14" s="17">
        <f>SUM(E5:E13)</f>
        <v/>
      </c>
      <c r="F14" s="17">
        <f>SUM(F5:F13)</f>
        <v/>
      </c>
      <c r="G14" s="17">
        <f>SUM(G5:G13)</f>
        <v/>
      </c>
      <c r="H14" s="17">
        <f>SUM(H5:H13)</f>
        <v/>
      </c>
    </row>
    <row r="16">
      <c r="A16" s="21" t="inlineStr">
        <is>
          <t>DAILY LOG (for milestone posts)</t>
        </is>
      </c>
    </row>
    <row r="17">
      <c r="A17" s="22" t="inlineStr">
        <is>
          <t>Date</t>
        </is>
      </c>
      <c r="B17" s="22" t="inlineStr">
        <is>
          <t>Total registrations</t>
        </is>
      </c>
      <c r="C17" s="22" t="inlineStr">
        <is>
          <t>Note</t>
        </is>
      </c>
    </row>
    <row r="18">
      <c r="A18" s="18" t="n">
        <v>46329</v>
      </c>
      <c r="B18" s="16" t="n">
        <v>12</v>
      </c>
      <c r="C18" s="16" t="inlineStr">
        <is>
          <t>Example – day 2 after opening</t>
        </is>
      </c>
    </row>
    <row r="19">
      <c r="A19" s="15" t="n"/>
      <c r="B19" s="14" t="n"/>
      <c r="C19" s="14" t="inlineStr"/>
    </row>
    <row r="20">
      <c r="A20" s="15" t="n"/>
      <c r="B20" s="14" t="n"/>
      <c r="C20" s="14" t="inlineStr"/>
    </row>
    <row r="21">
      <c r="A21" s="15" t="n"/>
      <c r="B21" s="14" t="n"/>
      <c r="C21" s="14" t="inlineStr"/>
    </row>
    <row r="22">
      <c r="A22" s="15" t="n"/>
      <c r="B22" s="14" t="n"/>
      <c r="C22" s="14" t="inlineStr"/>
    </row>
    <row r="23">
      <c r="A23" s="15" t="n"/>
      <c r="B23" s="14" t="n"/>
      <c r="C23" s="14" t="inlineStr"/>
    </row>
    <row r="24">
      <c r="A24" s="15" t="n"/>
      <c r="B24" s="14" t="n"/>
      <c r="C24" s="14" t="inlineStr"/>
    </row>
    <row r="25">
      <c r="A25" s="15" t="n"/>
      <c r="B25" s="14" t="n"/>
      <c r="C25" s="14" t="inlineStr"/>
    </row>
    <row r="26">
      <c r="A26" s="15" t="n"/>
      <c r="B26" s="14" t="n"/>
      <c r="C26" s="14" t="inlineStr"/>
    </row>
    <row r="27">
      <c r="A27" s="15" t="n"/>
      <c r="B27" s="14" t="n"/>
      <c r="C27" s="14" t="inlineStr"/>
    </row>
    <row r="28">
      <c r="A28" s="15" t="n"/>
      <c r="B28" s="14" t="n"/>
      <c r="C28" s="14" t="inlineStr"/>
    </row>
    <row r="29">
      <c r="A29" s="15" t="n"/>
      <c r="B29" s="14" t="n"/>
      <c r="C29" s="14" t="inlineStr"/>
    </row>
    <row r="30">
      <c r="A30" s="15" t="n"/>
      <c r="B30" s="14" t="n"/>
      <c r="C30" s="14" t="inlineStr"/>
    </row>
    <row r="31">
      <c r="A31" s="15" t="n"/>
      <c r="B31" s="14" t="n"/>
      <c r="C31" s="14" t="inlineStr"/>
    </row>
    <row r="32">
      <c r="A32" s="15" t="n"/>
      <c r="B32" s="14" t="n"/>
      <c r="C32" s="14" t="inlineStr"/>
    </row>
    <row r="33">
      <c r="A33" s="15" t="n"/>
      <c r="B33" s="14" t="n"/>
      <c r="C33" s="14" t="inlineStr"/>
    </row>
    <row r="34">
      <c r="A34" s="15" t="n"/>
      <c r="B34" s="14" t="n"/>
      <c r="C34" s="14" t="inlineStr"/>
    </row>
    <row r="35">
      <c r="A35" s="15" t="n"/>
      <c r="B35" s="14" t="n"/>
      <c r="C35" s="14" t="inlineStr"/>
    </row>
    <row r="36">
      <c r="A36" s="15" t="n"/>
      <c r="B36" s="14" t="n"/>
      <c r="C36" s="14" t="inlineStr"/>
    </row>
    <row r="37">
      <c r="A37" s="15" t="n"/>
      <c r="B37" s="14" t="n"/>
      <c r="C37" s="14" t="inlineStr"/>
    </row>
    <row r="38">
      <c r="A38" s="15" t="n"/>
      <c r="B38" s="14" t="n"/>
      <c r="C38" s="14" t="inlineStr"/>
    </row>
    <row r="39">
      <c r="A39" s="15" t="n"/>
      <c r="B39" s="14" t="n"/>
      <c r="C39" s="14" t="inlineStr"/>
    </row>
    <row r="40">
      <c r="A40" s="15" t="n"/>
      <c r="B40" s="14" t="n"/>
      <c r="C40" s="14" t="inlineStr"/>
    </row>
    <row r="41">
      <c r="A41" s="15" t="n"/>
      <c r="B41" s="14" t="n"/>
      <c r="C41" s="14" t="inlineStr"/>
    </row>
    <row r="42">
      <c r="A42" s="15" t="n"/>
      <c r="B42" s="14" t="n"/>
      <c r="C42" s="14" t="inlineStr"/>
    </row>
  </sheetData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0" customWidth="1" min="4" max="4"/>
    <col width="40" customWidth="1" min="5" max="5"/>
  </cols>
  <sheetData>
    <row r="1">
      <c r="A1" s="1" t="inlineStr">
        <is>
          <t>Results sheet for management</t>
        </is>
      </c>
    </row>
    <row r="2">
      <c r="A2" s="2" t="inlineStr">
        <is>
          <t>Fill after the event. Targets from the Event 1 plan. Linked cells fill automatically.</t>
        </is>
      </c>
    </row>
    <row r="4">
      <c r="A4" s="11" t="inlineStr">
        <is>
          <t>Measure</t>
        </is>
      </c>
      <c r="B4" s="11" t="inlineStr">
        <is>
          <t>Target</t>
        </is>
      </c>
      <c r="C4" s="11" t="inlineStr">
        <is>
          <t>Actual</t>
        </is>
      </c>
      <c r="D4" s="11" t="inlineStr">
        <is>
          <t>Met?</t>
        </is>
      </c>
      <c r="E4" s="11" t="inlineStr">
        <is>
          <t>Notes</t>
        </is>
      </c>
    </row>
    <row r="5">
      <c r="A5" s="13" t="inlineStr">
        <is>
          <t>Registrations</t>
        </is>
      </c>
      <c r="B5" s="14" t="n">
        <v>100</v>
      </c>
      <c r="C5" s="13">
        <f>Registrations!H14</f>
        <v/>
      </c>
      <c r="D5" s="13">
        <f>IF(OR(C5="",C5=0),"",IF(C5&gt;=B5,"Yes","No"))</f>
        <v/>
      </c>
      <c r="E5" s="14" t="inlineStr"/>
    </row>
    <row r="6">
      <c r="A6" s="13" t="inlineStr">
        <is>
          <t>Attended</t>
        </is>
      </c>
      <c r="B6" s="14" t="n">
        <v>80</v>
      </c>
      <c r="C6" s="13">
        <f>Registrations!E14</f>
        <v/>
      </c>
      <c r="D6" s="13">
        <f>IF(OR(C6="",C6=0),"",IF(C6&gt;=B6,"Yes","No"))</f>
        <v/>
      </c>
      <c r="E6" s="14" t="inlineStr"/>
    </row>
    <row r="7">
      <c r="A7" s="13" t="inlineStr">
        <is>
          <t>Departments represented</t>
        </is>
      </c>
      <c r="B7" s="14" t="n">
        <v>4</v>
      </c>
      <c r="C7" s="13">
        <f>COUNTIF(Registrations!H5:H13,"&gt;0")</f>
        <v/>
      </c>
      <c r="D7" s="13">
        <f>IF(OR(C7="",C7=0),"",IF(C7&gt;=B7,"Yes","No"))</f>
        <v/>
      </c>
      <c r="E7" s="14" t="inlineStr"/>
    </row>
    <row r="8">
      <c r="A8" s="13" t="inlineStr">
        <is>
          <t>Companies involved</t>
        </is>
      </c>
      <c r="B8" s="14" t="n">
        <v>2</v>
      </c>
      <c r="C8" s="13">
        <f>COUNTIFS(Partners!A:A,"Company",Partners!I:I,"Confirmed")</f>
        <v/>
      </c>
      <c r="D8" s="13">
        <f>IF(OR(C8="",C8=0),"",IF(C8&gt;=B8,"Yes","No"))</f>
        <v/>
      </c>
      <c r="E8" s="14" t="inlineStr"/>
    </row>
    <row r="9">
      <c r="A9" s="13" t="inlineStr">
        <is>
          <t>Internship interviews given</t>
        </is>
      </c>
      <c r="B9" s="14" t="n">
        <v>5</v>
      </c>
      <c r="C9" s="14" t="n"/>
      <c r="D9" s="13">
        <f>IF(OR(C9="",C9=0),"",IF(C9&gt;=B9,"Yes","No"))</f>
        <v/>
      </c>
      <c r="E9" s="14" t="inlineStr"/>
    </row>
    <row r="10">
      <c r="A10" s="13" t="inlineStr">
        <is>
          <t>CVs reviewed</t>
        </is>
      </c>
      <c r="B10" s="14" t="n">
        <v>80</v>
      </c>
      <c r="C10" s="14" t="n"/>
      <c r="D10" s="13">
        <f>IF(OR(C10="",C10=0),"",IF(C10&gt;=B10,"Yes","No"))</f>
        <v/>
      </c>
      <c r="E10" s="14" t="inlineStr"/>
    </row>
    <row r="11">
      <c r="A11" s="13" t="inlineStr">
        <is>
          <t>Mock interviews done</t>
        </is>
      </c>
      <c r="B11" s="14" t="n">
        <v>30</v>
      </c>
      <c r="C11" s="14" t="n"/>
      <c r="D11" s="13">
        <f>IF(OR(C11="",C11=0),"",IF(C11&gt;=B11,"Yes","No"))</f>
        <v/>
      </c>
      <c r="E11" s="14" t="inlineStr"/>
    </row>
    <row r="12">
      <c r="A12" s="13" t="inlineStr">
        <is>
          <t>Sponsor money / in-kind (₹)</t>
        </is>
      </c>
      <c r="B12" s="19" t="n">
        <v>5000</v>
      </c>
      <c r="C12" s="23">
        <f>Budget!C17</f>
        <v/>
      </c>
      <c r="D12" s="13">
        <f>IF(OR(C12="",C12=0),"",IF(C12&gt;=B12,"Yes","No"))</f>
        <v/>
      </c>
      <c r="E12" s="14" t="inlineStr"/>
    </row>
    <row r="13">
      <c r="A13" s="13" t="inlineStr">
        <is>
          <t>Feedback score (out of 5)</t>
        </is>
      </c>
      <c r="B13" s="14" t="n">
        <v>4</v>
      </c>
      <c r="C13" s="14" t="n"/>
      <c r="D13" s="13">
        <f>IF(OR(C13="",C13=0),"",IF(C13&gt;=B13,"Yes","No"))</f>
        <v/>
      </c>
      <c r="E13" s="14" t="inlineStr"/>
    </row>
    <row r="14">
      <c r="A14" s="13" t="inlineStr">
        <is>
          <t>Social media views</t>
        </is>
      </c>
      <c r="B14" s="14" t="n">
        <v>5000</v>
      </c>
      <c r="C14" s="14" t="n"/>
      <c r="D14" s="13">
        <f>IF(OR(C14="",C14=0),"",IF(C14&gt;=B14,"Yes","No"))</f>
        <v/>
      </c>
      <c r="E14" s="14" t="inlineStr"/>
    </row>
    <row r="15">
      <c r="A15" s="13" t="inlineStr">
        <is>
          <t>Total cost (₹)</t>
        </is>
      </c>
      <c r="B15" s="13" t="n"/>
      <c r="C15" s="23">
        <f>Budget!D11</f>
        <v/>
      </c>
      <c r="D15" s="13" t="inlineStr"/>
      <c r="E15" s="13" t="inlineStr">
        <is>
          <t>From Budget tab</t>
        </is>
      </c>
    </row>
    <row r="16">
      <c r="A16" s="13" t="inlineStr">
        <is>
          <t>Cost per participant (₹)</t>
        </is>
      </c>
      <c r="B16" s="13" t="n"/>
      <c r="C16" s="23">
        <f>IFERROR(C15/C6,"")</f>
        <v/>
      </c>
      <c r="D16" s="13" t="inlineStr"/>
      <c r="E16" s="13" t="inlineStr">
        <is>
          <t>Total cost ÷ attended</t>
        </is>
      </c>
    </row>
    <row r="18">
      <c r="A18" s="10" t="inlineStr">
        <is>
          <t>Also attach: photos, winners, 2–3 quotes from companies and students, what we change, and the request for Event 2 (Campus Hackathon, Sat 20 Feb 2027).</t>
        </is>
      </c>
    </row>
  </sheetData>
  <conditionalFormatting sqref="D5:D20">
    <cfRule type="cellIs" priority="1" operator="equal" dxfId="0">
      <formula>"Yes"</formula>
    </cfRule>
    <cfRule type="cellIs" priority="2" operator="equal" dxfId="2">
      <formula>"No"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2026-10-11T17:52:57Z</dcterms:created>
  <dcterms:modified xsi:type="dcterms:W3CDTF">2026-10-11T17:52:57Z</dcterms:modified>
</cp:coreProperties>
</file>